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firstSheet="1" activeTab="4"/>
  </bookViews>
  <sheets>
    <sheet name="Бисекция" sheetId="1" r:id="rId1"/>
    <sheet name="Простая_итерация" sheetId="2" r:id="rId2"/>
    <sheet name="Ньютон" sheetId="3" r:id="rId3"/>
    <sheet name="Секущие" sheetId="4" r:id="rId4"/>
    <sheet name="Лист5" sheetId="5" r:id="rId5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<sst xmlns="http://schemas.openxmlformats.org/spreadsheetml/2006/main" count="51" uniqueCount="42">
  <si>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f(x))=e^(-x) - x</t>
  </si>
  <si>
    <t>a=</t>
  </si>
  <si>
    <t>b=</t>
  </si>
  <si>
    <t>eps=</t>
  </si>
  <si>
    <t>f(a)=</t>
  </si>
  <si>
    <t>f(b)</t>
  </si>
  <si>
    <t>Итерация</t>
  </si>
  <si>
    <t>a</t>
  </si>
  <si>
    <t>b</t>
  </si>
  <si>
    <t>c = (a+b)/2</t>
  </si>
  <si>
    <t>f(c)</t>
  </si>
  <si>
    <t xml:space="preserve">f(a) * f(c) </t>
  </si>
  <si>
    <t>b - a</t>
  </si>
  <si>
    <t>|f(c)|</t>
  </si>
  <si>
    <t>phi(x)=e^(-x)</t>
  </si>
  <si>
    <t>x0 =</t>
  </si>
  <si>
    <t>eps =</t>
  </si>
  <si>
    <t>phi'(x0) =</t>
  </si>
  <si>
    <t>n</t>
  </si>
  <si>
    <t>x_n</t>
  </si>
  <si>
    <t>x_{n+1}=phi(x_n)</t>
  </si>
  <si>
    <t>|x_{n+1}−x_n|</t>
  </si>
  <si>
    <t>f(x_{n+1})</t>
  </si>
  <si>
    <t>f(x)=e^(-x)-x</t>
  </si>
  <si>
    <t>f'(x)=-e^(-x)-1</t>
  </si>
  <si>
    <t>k</t>
  </si>
  <si>
    <t>x_k</t>
  </si>
  <si>
    <t>f(x_k)</t>
  </si>
  <si>
    <t>f'(x_k)</t>
  </si>
  <si>
    <t>x_{k+1}</t>
  </si>
  <si>
    <t>|x_{k+1}−x_k|</t>
  </si>
  <si>
    <t>x1 =</t>
  </si>
  <si>
    <t>x_{k−1}</t>
  </si>
  <si>
    <t>f(x_{k+1})</t>
  </si>
  <si>
    <t>Метод</t>
  </si>
  <si>
    <t>Корень</t>
  </si>
  <si>
    <t>Итераций</t>
  </si>
  <si>
    <t>Невязка</t>
  </si>
  <si>
    <t>Бисекция</t>
  </si>
  <si>
    <t>Простая итерация</t>
  </si>
  <si>
    <t>Ньютон</t>
  </si>
  <si>
    <t>Секущие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</si>
</sst>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0.0000000E+00"/>
  </numFmts>
  <fonts count="29">
    <font>
      <sz val="11"/>
      <color theme="1"/>
      <name val="Aptos Narrow"/>
      <charset val="204"/>
      <scheme val="minor"/>
    </font>
    <font>
      <sz val="9"/>
      <color rgb="FF0F1115"/>
      <name val="Segoe UI"/>
      <charset val="204"/>
    </font>
    <font>
      <sz val="8"/>
      <color rgb="FF0F1115"/>
      <name val="Consolas"/>
      <charset val="204"/>
    </font>
    <font>
      <sz val="14"/>
      <color rgb="FF0F1115"/>
      <name val="Aptos Narrow"/>
      <charset val="134"/>
      <scheme val="minor"/>
    </font>
    <font>
      <sz val="14"/>
      <color theme="1"/>
      <name val="Aptos Narrow"/>
      <charset val="134"/>
      <scheme val="minor"/>
    </font>
    <font>
      <sz val="14"/>
      <color rgb="FF0F1115"/>
      <name val="Consolas"/>
      <charset val="204"/>
    </font>
    <font>
      <sz val="14"/>
      <color theme="1"/>
      <name val="Aptos Narrow"/>
      <charset val="204"/>
      <scheme val="minor"/>
    </font>
    <font>
      <sz val="14"/>
      <color rgb="FF0F1115"/>
      <name val="Segoe UI"/>
      <charset val="204"/>
    </font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Border="1"/>
    <xf numFmtId="178" fontId="5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0" fillId="0" borderId="1" xfId="0" applyBorder="1"/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45" zoomScaleNormal="145" topLeftCell="A8" workbookViewId="0">
      <selection activeCell="D9" sqref="D9"/>
    </sheetView>
  </sheetViews>
  <sheetFormatPr defaultColWidth="9" defaultRowHeight="13.8"/>
  <cols>
    <col min="1" max="1" width="21.5583333333333" customWidth="1"/>
    <col min="4" max="4" width="12.1083333333333" customWidth="1"/>
    <col min="6" max="6" width="16.8833333333333" customWidth="1"/>
  </cols>
  <sheetData>
    <row r="1" spans="1:9">
      <c r="A1" s="24" t="s">
        <v>0</v>
      </c>
      <c r="B1" s="24"/>
    </row>
    <row r="2" spans="1:9">
      <c r="A2" s="24" t="s">
        <v>1</v>
      </c>
      <c r="B2" s="24">
        <v>0</v>
      </c>
    </row>
    <row r="3" spans="1:9">
      <c r="A3" s="24" t="s">
        <v>2</v>
      </c>
      <c r="B3" s="24">
        <v>1</v>
      </c>
    </row>
    <row r="4" spans="1:9">
      <c r="A4" s="24" t="s">
        <v>3</v>
      </c>
      <c r="B4" s="24">
        <v>0.0001</v>
      </c>
    </row>
    <row r="5" spans="1:9">
      <c r="A5" s="24" t="s">
        <v>4</v>
      </c>
      <c r="B5" s="24">
        <f>EXP(-B2)-B2</f>
        <v>1</v>
      </c>
    </row>
    <row r="6" spans="1:9">
      <c r="A6" s="24" t="s">
        <v>5</v>
      </c>
      <c r="B6" s="24">
        <f>EXP(-B3)-B3</f>
        <v>-0.632120558828558</v>
      </c>
    </row>
    <row r="8" spans="1:9">
      <c r="A8" s="24" t="s">
        <v>6</v>
      </c>
      <c r="B8" s="24" t="s">
        <v>7</v>
      </c>
      <c r="C8" s="24" t="s">
        <v>8</v>
      </c>
      <c r="D8" s="24" t="s">
        <v>9</v>
      </c>
      <c r="E8" s="24" t="s">
        <v>10</v>
      </c>
      <c r="F8" s="24" t="s">
        <v>11</v>
      </c>
      <c r="G8" s="24" t="s">
        <v>12</v>
      </c>
      <c r="H8" s="24" t="s">
        <v>13</v>
      </c>
    </row>
    <row r="9" spans="1:9">
      <c r="A9" s="24">
        <v>1</v>
      </c>
      <c r="B9" s="24">
        <f>B2</f>
        <v>0</v>
      </c>
      <c r="C9" s="24">
        <f>B3</f>
        <v>1</v>
      </c>
      <c r="D9" s="24">
        <f>(B9+C9)/2</f>
        <v>0.5</v>
      </c>
      <c r="E9" s="24">
        <f>EXP(-D9)-D9</f>
        <v>0.106530659712633</v>
      </c>
      <c r="F9" s="24">
        <f>E9*B5</f>
        <v>0.106530659712633</v>
      </c>
      <c r="G9" s="24">
        <f>C9-B9</f>
        <v>1</v>
      </c>
      <c r="H9" s="24">
        <f>ABS(E9)</f>
        <v>0.106530659712633</v>
      </c>
    </row>
    <row r="10" spans="1:9">
      <c r="A10" s="24">
        <f>A9+1</f>
        <v>2</v>
      </c>
      <c r="B10" s="24">
        <f>IF(F9&lt;0,B9,D9)</f>
        <v>0.5</v>
      </c>
      <c r="C10" s="24">
        <f>IF(F9&lt;0,D9,C9)</f>
        <v>1</v>
      </c>
      <c r="D10" s="24">
        <f>(B10+C10)/2</f>
        <v>0.75</v>
      </c>
      <c r="E10" s="24">
        <f>EXP(-D10)-D10</f>
        <v>-0.277633447258985</v>
      </c>
      <c r="F10" s="24">
        <f>E10*($B$5)</f>
        <v>-0.277633447258985</v>
      </c>
      <c r="G10" s="24">
        <f>C10-B10</f>
        <v>0.5</v>
      </c>
      <c r="H10" s="24">
        <f>ABS(E10)</f>
        <v>0.277633447258985</v>
      </c>
      <c r="I10" s="25"/>
    </row>
    <row r="11" spans="1:9">
      <c r="A11" s="24">
        <f t="shared" ref="A11:A22" si="0">A10+1</f>
        <v>3</v>
      </c>
      <c r="B11" s="24">
        <f t="shared" ref="B11:B22" si="1">IF(F10&lt;0,B10,D10)</f>
        <v>0.5</v>
      </c>
      <c r="C11" s="24">
        <f t="shared" ref="C11:C22" si="2">IF(F10&lt;0,D10,C10)</f>
        <v>0.75</v>
      </c>
      <c r="D11" s="24">
        <f t="shared" ref="D11:D22" si="3">(B11+C11)/2</f>
        <v>0.625</v>
      </c>
      <c r="E11" s="24">
        <f t="shared" ref="E11:E22" si="4">EXP(-D11)-D11</f>
        <v>-0.0897385714810097</v>
      </c>
      <c r="F11" s="24">
        <f t="shared" ref="F11:F22" si="5">E11*($B$5)</f>
        <v>-0.0897385714810097</v>
      </c>
      <c r="G11" s="24">
        <f t="shared" ref="G11:G22" si="6">C11-B11</f>
        <v>0.25</v>
      </c>
      <c r="H11" s="24">
        <f t="shared" ref="H11:H22" si="7">ABS(E11)</f>
        <v>0.0897385714810097</v>
      </c>
    </row>
    <row r="12" spans="1:9">
      <c r="A12" s="24">
        <f t="shared" si="0"/>
        <v>4</v>
      </c>
      <c r="B12" s="24">
        <f t="shared" si="1"/>
        <v>0.5</v>
      </c>
      <c r="C12" s="24">
        <f t="shared" si="2"/>
        <v>0.625</v>
      </c>
      <c r="D12" s="24">
        <f t="shared" si="3"/>
        <v>0.5625</v>
      </c>
      <c r="E12" s="24">
        <f t="shared" si="4"/>
        <v>0.00728282473092301</v>
      </c>
      <c r="F12" s="24">
        <f t="shared" si="5"/>
        <v>0.00728282473092301</v>
      </c>
      <c r="G12" s="24">
        <f t="shared" si="6"/>
        <v>0.125</v>
      </c>
      <c r="H12" s="24">
        <f t="shared" si="7"/>
        <v>0.00728282473092301</v>
      </c>
    </row>
    <row r="13" spans="1:9">
      <c r="A13" s="24">
        <f t="shared" si="0"/>
        <v>5</v>
      </c>
      <c r="B13" s="24">
        <f t="shared" si="1"/>
        <v>0.5625</v>
      </c>
      <c r="C13" s="24">
        <f t="shared" si="2"/>
        <v>0.625</v>
      </c>
      <c r="D13" s="24">
        <f t="shared" si="3"/>
        <v>0.59375</v>
      </c>
      <c r="E13" s="24">
        <f t="shared" si="4"/>
        <v>-0.0414975498369796</v>
      </c>
      <c r="F13" s="24">
        <f t="shared" si="5"/>
        <v>-0.0414975498369796</v>
      </c>
      <c r="G13" s="24">
        <f t="shared" si="6"/>
        <v>0.0625</v>
      </c>
      <c r="H13" s="24">
        <f t="shared" si="7"/>
        <v>0.0414975498369796</v>
      </c>
    </row>
    <row r="14" spans="1:9">
      <c r="A14" s="24">
        <f t="shared" si="0"/>
        <v>6</v>
      </c>
      <c r="B14" s="24">
        <f t="shared" si="1"/>
        <v>0.5625</v>
      </c>
      <c r="C14" s="24">
        <f t="shared" si="2"/>
        <v>0.59375</v>
      </c>
      <c r="D14" s="24">
        <f t="shared" si="3"/>
        <v>0.578125</v>
      </c>
      <c r="E14" s="24">
        <f t="shared" si="4"/>
        <v>-0.0171758391855292</v>
      </c>
      <c r="F14" s="24">
        <f t="shared" si="5"/>
        <v>-0.0171758391855292</v>
      </c>
      <c r="G14" s="24">
        <f t="shared" si="6"/>
        <v>0.03125</v>
      </c>
      <c r="H14" s="24">
        <f t="shared" si="7"/>
        <v>0.0171758391855292</v>
      </c>
    </row>
    <row r="15" spans="1:9">
      <c r="A15" s="24">
        <f t="shared" si="0"/>
        <v>7</v>
      </c>
      <c r="B15" s="24">
        <f t="shared" si="1"/>
        <v>0.5625</v>
      </c>
      <c r="C15" s="24">
        <f t="shared" si="2"/>
        <v>0.578125</v>
      </c>
      <c r="D15" s="24">
        <f t="shared" si="3"/>
        <v>0.5703125</v>
      </c>
      <c r="E15" s="24">
        <f t="shared" si="4"/>
        <v>-0.00496376038938584</v>
      </c>
      <c r="F15" s="24">
        <f t="shared" si="5"/>
        <v>-0.00496376038938584</v>
      </c>
      <c r="G15" s="24">
        <f t="shared" si="6"/>
        <v>0.015625</v>
      </c>
      <c r="H15" s="24">
        <f t="shared" si="7"/>
        <v>0.00496376038938584</v>
      </c>
    </row>
    <row r="16" spans="1:9">
      <c r="A16" s="24">
        <f t="shared" si="0"/>
        <v>8</v>
      </c>
      <c r="B16" s="24">
        <f t="shared" si="1"/>
        <v>0.5625</v>
      </c>
      <c r="C16" s="24">
        <f t="shared" si="2"/>
        <v>0.5703125</v>
      </c>
      <c r="D16" s="24">
        <f t="shared" si="3"/>
        <v>0.56640625</v>
      </c>
      <c r="E16" s="24">
        <f t="shared" si="4"/>
        <v>0.00115520201502439</v>
      </c>
      <c r="F16" s="24">
        <f t="shared" si="5"/>
        <v>0.00115520201502439</v>
      </c>
      <c r="G16" s="24">
        <f t="shared" si="6"/>
        <v>0.0078125</v>
      </c>
      <c r="H16" s="24">
        <f t="shared" si="7"/>
        <v>0.00115520201502439</v>
      </c>
    </row>
    <row r="17" spans="1:8">
      <c r="A17" s="24">
        <f t="shared" si="0"/>
        <v>9</v>
      </c>
      <c r="B17" s="24">
        <f t="shared" si="1"/>
        <v>0.56640625</v>
      </c>
      <c r="C17" s="24">
        <f t="shared" si="2"/>
        <v>0.5703125</v>
      </c>
      <c r="D17" s="24">
        <f t="shared" si="3"/>
        <v>0.568359375</v>
      </c>
      <c r="E17" s="24">
        <f t="shared" si="4"/>
        <v>-0.00190535961281602</v>
      </c>
      <c r="F17" s="24">
        <f t="shared" si="5"/>
        <v>-0.00190535961281602</v>
      </c>
      <c r="G17" s="24">
        <f t="shared" si="6"/>
        <v>0.00390625</v>
      </c>
      <c r="H17" s="24">
        <f t="shared" si="7"/>
        <v>0.00190535961281602</v>
      </c>
    </row>
    <row r="18" spans="1:8">
      <c r="A18" s="24">
        <f t="shared" si="0"/>
        <v>10</v>
      </c>
      <c r="B18" s="24">
        <f t="shared" si="1"/>
        <v>0.56640625</v>
      </c>
      <c r="C18" s="24">
        <f t="shared" si="2"/>
        <v>0.568359375</v>
      </c>
      <c r="D18" s="24">
        <f t="shared" si="3"/>
        <v>0.5673828125</v>
      </c>
      <c r="E18" s="24">
        <f t="shared" si="4"/>
        <v>-0.000375349169144834</v>
      </c>
      <c r="F18" s="24">
        <f t="shared" si="5"/>
        <v>-0.000375349169144834</v>
      </c>
      <c r="G18" s="24">
        <f t="shared" si="6"/>
        <v>0.001953125</v>
      </c>
      <c r="H18" s="24">
        <f t="shared" si="7"/>
        <v>0.000375349169144834</v>
      </c>
    </row>
    <row r="19" spans="1:8">
      <c r="A19" s="24">
        <f t="shared" si="0"/>
        <v>11</v>
      </c>
      <c r="B19" s="24">
        <f t="shared" si="1"/>
        <v>0.56640625</v>
      </c>
      <c r="C19" s="24">
        <f t="shared" si="2"/>
        <v>0.5673828125</v>
      </c>
      <c r="D19" s="24">
        <f t="shared" si="3"/>
        <v>0.56689453125</v>
      </c>
      <c r="E19" s="24">
        <f t="shared" si="4"/>
        <v>0.000389858797369302</v>
      </c>
      <c r="F19" s="24">
        <f t="shared" si="5"/>
        <v>0.000389858797369302</v>
      </c>
      <c r="G19" s="24">
        <f t="shared" si="6"/>
        <v>0.0009765625</v>
      </c>
      <c r="H19" s="24">
        <f t="shared" si="7"/>
        <v>0.000389858797369302</v>
      </c>
    </row>
    <row r="20" spans="1:8">
      <c r="A20" s="24">
        <f t="shared" si="0"/>
        <v>12</v>
      </c>
      <c r="B20" s="24">
        <f t="shared" si="1"/>
        <v>0.56689453125</v>
      </c>
      <c r="C20" s="24">
        <f t="shared" si="2"/>
        <v>0.5673828125</v>
      </c>
      <c r="D20" s="24">
        <f t="shared" si="3"/>
        <v>0.567138671875</v>
      </c>
      <c r="E20" s="24">
        <f t="shared" si="4"/>
        <v>7.23791184686906e-6</v>
      </c>
      <c r="F20" s="24">
        <f t="shared" si="5"/>
        <v>7.23791184686906e-6</v>
      </c>
      <c r="G20" s="24">
        <f t="shared" si="6"/>
        <v>0.00048828125</v>
      </c>
      <c r="H20" s="24">
        <f t="shared" si="7"/>
        <v>7.23791184686906e-6</v>
      </c>
    </row>
    <row r="21" spans="1:8">
      <c r="A21" s="24">
        <f t="shared" si="0"/>
        <v>13</v>
      </c>
      <c r="B21" s="24">
        <f t="shared" si="1"/>
        <v>0.567138671875</v>
      </c>
      <c r="C21" s="24">
        <f t="shared" si="2"/>
        <v>0.5673828125</v>
      </c>
      <c r="D21" s="24">
        <f t="shared" si="3"/>
        <v>0.5672607421875</v>
      </c>
      <c r="E21" s="24">
        <f t="shared" si="4"/>
        <v>-0.000184059853699514</v>
      </c>
      <c r="F21" s="24">
        <f t="shared" si="5"/>
        <v>-0.000184059853699514</v>
      </c>
      <c r="G21" s="24">
        <f t="shared" si="6"/>
        <v>0.000244140625</v>
      </c>
      <c r="H21" s="24">
        <f t="shared" si="7"/>
        <v>0.000184059853699514</v>
      </c>
    </row>
    <row r="22" spans="1:8">
      <c r="A22" s="24">
        <f t="shared" si="0"/>
        <v>14</v>
      </c>
      <c r="B22" s="24">
        <f t="shared" si="1"/>
        <v>0.567138671875</v>
      </c>
      <c r="C22" s="24">
        <f t="shared" si="2"/>
        <v>0.5672607421875</v>
      </c>
      <c r="D22" s="24">
        <f t="shared" si="3"/>
        <v>0.56719970703125</v>
      </c>
      <c r="E22" s="24">
        <f t="shared" si="4"/>
        <v>-8.84120272534039e-5</v>
      </c>
      <c r="F22" s="24">
        <f t="shared" si="5"/>
        <v>-8.84120272534039e-5</v>
      </c>
      <c r="G22" s="24">
        <f t="shared" si="6"/>
        <v>0.0001220703125</v>
      </c>
      <c r="H22" s="24">
        <f t="shared" si="7"/>
        <v>8.84120272534039e-5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opLeftCell="A3" workbookViewId="0">
      <selection activeCell="K16" sqref="K16"/>
    </sheetView>
  </sheetViews>
  <sheetFormatPr defaultColWidth="9" defaultRowHeight="13.8" outlineLevelCol="5"/>
  <cols>
    <col min="1" max="1" width="13.775" customWidth="1"/>
    <col min="3" max="3" width="24.775" customWidth="1"/>
    <col min="4" max="4" width="17" customWidth="1"/>
    <col min="5" max="5" width="17.6666666666667" customWidth="1"/>
  </cols>
  <sheetData>
    <row r="1" ht="17.4" spans="1:6">
      <c r="A1" s="19" t="s">
        <v>14</v>
      </c>
      <c r="B1" s="19"/>
    </row>
    <row r="2" ht="17.4" spans="1:6">
      <c r="A2" s="19" t="s">
        <v>15</v>
      </c>
      <c r="B2" s="19">
        <v>0.5</v>
      </c>
    </row>
    <row r="3" ht="17.4" spans="1:6">
      <c r="A3" s="19" t="s">
        <v>16</v>
      </c>
      <c r="B3" s="19">
        <v>0.0001</v>
      </c>
    </row>
    <row r="4" ht="17.4" spans="1:6">
      <c r="A4" s="19" t="s">
        <v>17</v>
      </c>
      <c r="B4" s="19">
        <f>-EXP(-B2)</f>
        <v>-0.606530659712633</v>
      </c>
    </row>
    <row r="6" ht="17.4" spans="1:6">
      <c r="A6" s="20" t="s">
        <v>18</v>
      </c>
      <c r="B6" s="20" t="s">
        <v>19</v>
      </c>
      <c r="C6" s="21" t="s">
        <v>20</v>
      </c>
      <c r="D6" s="22" t="s">
        <v>21</v>
      </c>
      <c r="E6" s="20" t="s">
        <v>22</v>
      </c>
      <c r="F6" s="23"/>
    </row>
    <row r="7" ht="17.4" spans="1:6">
      <c r="A7" s="15">
        <v>0</v>
      </c>
      <c r="B7" s="15">
        <f>B2</f>
        <v>0.5</v>
      </c>
      <c r="C7" s="15">
        <f>EXP(-B7)</f>
        <v>0.606530659712633</v>
      </c>
      <c r="D7" s="20">
        <f>ABS(C7-B7)</f>
        <v>0.106530659712633</v>
      </c>
      <c r="E7" s="20">
        <f>EXP(-C7)-C7</f>
        <v>-0.0612914478200284</v>
      </c>
      <c r="F7" s="23"/>
    </row>
    <row r="8" ht="17.4" spans="1:6">
      <c r="A8" s="20">
        <f>A7+1</f>
        <v>1</v>
      </c>
      <c r="B8" s="20">
        <f>C7</f>
        <v>0.606530659712633</v>
      </c>
      <c r="C8" s="20">
        <f>EXP(-B8)</f>
        <v>0.545239211892605</v>
      </c>
      <c r="D8" s="20">
        <f>ABS(C8-B8)</f>
        <v>0.0612914478200284</v>
      </c>
      <c r="E8" s="20">
        <f>EXP(-C8)-C8</f>
        <v>0.0344638829854632</v>
      </c>
      <c r="F8" s="23"/>
    </row>
    <row r="9" ht="17.4" spans="1:6">
      <c r="A9" s="20">
        <f t="shared" ref="A9:A28" si="0">A8+1</f>
        <v>2</v>
      </c>
      <c r="B9" s="20">
        <f t="shared" ref="B9:B28" si="1">C8</f>
        <v>0.545239211892605</v>
      </c>
      <c r="C9" s="20">
        <f t="shared" ref="C9:C28" si="2">EXP(-B9)</f>
        <v>0.579703094878068</v>
      </c>
      <c r="D9" s="20">
        <f t="shared" ref="D9:D28" si="3">ABS(C9-B9)</f>
        <v>0.0344638829854632</v>
      </c>
      <c r="E9" s="20">
        <f t="shared" ref="E9:E28" si="4">EXP(-C9)-C9</f>
        <v>-0.0196384669391664</v>
      </c>
      <c r="F9" s="23"/>
    </row>
    <row r="10" ht="17.4" spans="1:6">
      <c r="A10" s="20">
        <f t="shared" si="0"/>
        <v>3</v>
      </c>
      <c r="B10" s="20">
        <f t="shared" si="1"/>
        <v>0.579703094878068</v>
      </c>
      <c r="C10" s="20">
        <f t="shared" si="2"/>
        <v>0.560064627938902</v>
      </c>
      <c r="D10" s="20">
        <f t="shared" si="3"/>
        <v>0.0196384669391664</v>
      </c>
      <c r="E10" s="20">
        <f t="shared" si="4"/>
        <v>0.0111075210383133</v>
      </c>
    </row>
    <row r="11" ht="17.4" spans="1:6">
      <c r="A11" s="20">
        <f t="shared" si="0"/>
        <v>4</v>
      </c>
      <c r="B11" s="20">
        <f t="shared" si="1"/>
        <v>0.560064627938902</v>
      </c>
      <c r="C11" s="20">
        <f t="shared" si="2"/>
        <v>0.571172148977215</v>
      </c>
      <c r="D11" s="20">
        <f t="shared" si="3"/>
        <v>0.0111075210383133</v>
      </c>
      <c r="E11" s="20">
        <f t="shared" si="4"/>
        <v>-0.00630920199689167</v>
      </c>
    </row>
    <row r="12" ht="17.4" spans="1:6">
      <c r="A12" s="20">
        <f t="shared" si="0"/>
        <v>5</v>
      </c>
      <c r="B12" s="20">
        <f t="shared" si="1"/>
        <v>0.571172148977215</v>
      </c>
      <c r="C12" s="20">
        <f t="shared" si="2"/>
        <v>0.564862946980323</v>
      </c>
      <c r="D12" s="20">
        <f t="shared" si="3"/>
        <v>0.00630920199689167</v>
      </c>
      <c r="E12" s="20">
        <f t="shared" si="4"/>
        <v>0.00357510058974275</v>
      </c>
    </row>
    <row r="13" ht="17.4" spans="1:6">
      <c r="A13" s="20">
        <f t="shared" si="0"/>
        <v>6</v>
      </c>
      <c r="B13" s="20">
        <f t="shared" si="1"/>
        <v>0.564862946980323</v>
      </c>
      <c r="C13" s="20">
        <f t="shared" si="2"/>
        <v>0.568438047570066</v>
      </c>
      <c r="D13" s="20">
        <f t="shared" si="3"/>
        <v>0.00357510058974275</v>
      </c>
      <c r="E13" s="20">
        <f t="shared" si="4"/>
        <v>-0.00202859482314544</v>
      </c>
    </row>
    <row r="14" ht="17.4" spans="1:6">
      <c r="A14" s="20">
        <f t="shared" si="0"/>
        <v>7</v>
      </c>
      <c r="B14" s="20">
        <f t="shared" si="1"/>
        <v>0.568438047570066</v>
      </c>
      <c r="C14" s="20">
        <f t="shared" si="2"/>
        <v>0.566409452746921</v>
      </c>
      <c r="D14" s="20">
        <f t="shared" si="3"/>
        <v>0.00202859482314544</v>
      </c>
      <c r="E14" s="20">
        <f t="shared" si="4"/>
        <v>0.00115018151532165</v>
      </c>
    </row>
    <row r="15" ht="17.4" spans="1:6">
      <c r="A15" s="20">
        <f t="shared" si="0"/>
        <v>8</v>
      </c>
      <c r="B15" s="20">
        <f t="shared" si="1"/>
        <v>0.566409452746921</v>
      </c>
      <c r="C15" s="20">
        <f t="shared" si="2"/>
        <v>0.567559634262242</v>
      </c>
      <c r="D15" s="20">
        <f t="shared" si="3"/>
        <v>0.00115018151532165</v>
      </c>
      <c r="E15" s="20">
        <f t="shared" si="4"/>
        <v>-0.000652421326771013</v>
      </c>
    </row>
    <row r="16" ht="17.4" spans="1:6">
      <c r="A16" s="20">
        <f t="shared" si="0"/>
        <v>9</v>
      </c>
      <c r="B16" s="20">
        <f t="shared" si="1"/>
        <v>0.567559634262242</v>
      </c>
      <c r="C16" s="20">
        <f t="shared" si="2"/>
        <v>0.566907212935471</v>
      </c>
      <c r="D16" s="20">
        <f t="shared" si="3"/>
        <v>0.000652421326771013</v>
      </c>
      <c r="E16" s="20">
        <f t="shared" si="4"/>
        <v>0.000369983035307109</v>
      </c>
    </row>
    <row r="17" ht="17.4" spans="1:5">
      <c r="A17" s="20">
        <f t="shared" si="0"/>
        <v>10</v>
      </c>
      <c r="B17" s="20">
        <f t="shared" si="1"/>
        <v>0.566907212935471</v>
      </c>
      <c r="C17" s="20">
        <f t="shared" si="2"/>
        <v>0.567277195970779</v>
      </c>
      <c r="D17" s="20">
        <f t="shared" si="3"/>
        <v>0.000369983035307109</v>
      </c>
      <c r="E17" s="20">
        <f t="shared" si="4"/>
        <v>-0.000209844117050384</v>
      </c>
    </row>
    <row r="18" ht="17.4" spans="1:5">
      <c r="A18" s="20">
        <f t="shared" si="0"/>
        <v>11</v>
      </c>
      <c r="B18" s="20">
        <f t="shared" si="1"/>
        <v>0.567277195970779</v>
      </c>
      <c r="C18" s="20">
        <f t="shared" si="2"/>
        <v>0.567067351853728</v>
      </c>
      <c r="D18" s="20">
        <f t="shared" si="3"/>
        <v>0.000209844117050384</v>
      </c>
      <c r="E18" s="20">
        <f t="shared" si="4"/>
        <v>0.000119008233909979</v>
      </c>
    </row>
    <row r="19" ht="17.4" spans="1:5">
      <c r="A19" s="20">
        <f t="shared" si="0"/>
        <v>12</v>
      </c>
      <c r="B19" s="20">
        <f t="shared" si="1"/>
        <v>0.567067351853728</v>
      </c>
      <c r="C19" s="20">
        <f t="shared" si="2"/>
        <v>0.567186360087638</v>
      </c>
      <c r="D19" s="20">
        <f t="shared" si="3"/>
        <v>0.000119008233909979</v>
      </c>
      <c r="E19" s="20">
        <f t="shared" si="4"/>
        <v>-6.74958306523532e-5</v>
      </c>
    </row>
    <row r="20" ht="17.4" spans="1:5">
      <c r="A20" s="20">
        <f t="shared" si="0"/>
        <v>13</v>
      </c>
      <c r="B20" s="20">
        <f t="shared" si="1"/>
        <v>0.567186360087638</v>
      </c>
      <c r="C20" s="20">
        <f t="shared" si="2"/>
        <v>0.567118864256986</v>
      </c>
      <c r="D20" s="20">
        <f t="shared" si="3"/>
        <v>6.74958306523532e-5</v>
      </c>
      <c r="E20" s="20">
        <f t="shared" si="4"/>
        <v>3.8279450658818e-5</v>
      </c>
    </row>
    <row r="21" ht="17.4" spans="1:5">
      <c r="A21" s="20">
        <f t="shared" si="0"/>
        <v>14</v>
      </c>
      <c r="B21" s="20">
        <f t="shared" si="1"/>
        <v>0.567118864256986</v>
      </c>
      <c r="C21" s="20">
        <f t="shared" si="2"/>
        <v>0.567157143707645</v>
      </c>
      <c r="D21" s="20">
        <f t="shared" si="3"/>
        <v>3.8279450658818e-5</v>
      </c>
      <c r="E21" s="20">
        <f t="shared" si="4"/>
        <v>-2.17100483713706e-5</v>
      </c>
    </row>
    <row r="22" ht="17.4" spans="1:5">
      <c r="A22" s="20">
        <f t="shared" si="0"/>
        <v>15</v>
      </c>
      <c r="B22" s="20">
        <f t="shared" si="1"/>
        <v>0.567157143707645</v>
      </c>
      <c r="C22" s="20">
        <f t="shared" si="2"/>
        <v>0.567135433659273</v>
      </c>
      <c r="D22" s="20">
        <f t="shared" si="3"/>
        <v>2.17100483713706e-5</v>
      </c>
      <c r="E22" s="20">
        <f t="shared" si="4"/>
        <v>1.23126713517108e-5</v>
      </c>
    </row>
    <row r="23" ht="17.4" spans="1:5">
      <c r="A23" s="20">
        <f t="shared" si="0"/>
        <v>16</v>
      </c>
      <c r="B23" s="20">
        <f t="shared" si="1"/>
        <v>0.567135433659273</v>
      </c>
      <c r="C23" s="20">
        <f t="shared" si="2"/>
        <v>0.567147746330625</v>
      </c>
      <c r="D23" s="20">
        <f t="shared" si="3"/>
        <v>1.23126713517108e-5</v>
      </c>
      <c r="E23" s="20">
        <f t="shared" si="4"/>
        <v>-6.98306081825528e-6</v>
      </c>
    </row>
    <row r="24" ht="17.4" spans="1:5">
      <c r="A24" s="20">
        <f t="shared" si="0"/>
        <v>17</v>
      </c>
      <c r="B24" s="20">
        <f t="shared" si="1"/>
        <v>0.567147746330625</v>
      </c>
      <c r="C24" s="20">
        <f t="shared" si="2"/>
        <v>0.567140763269807</v>
      </c>
      <c r="D24" s="20">
        <f t="shared" si="3"/>
        <v>6.98306081825528e-6</v>
      </c>
      <c r="E24" s="20">
        <f t="shared" si="4"/>
        <v>3.96039227024136e-6</v>
      </c>
    </row>
    <row r="25" ht="17.4" spans="1:5">
      <c r="A25" s="20">
        <f t="shared" si="0"/>
        <v>18</v>
      </c>
      <c r="B25" s="20">
        <f t="shared" si="1"/>
        <v>0.567140763269807</v>
      </c>
      <c r="C25" s="20">
        <f t="shared" si="2"/>
        <v>0.567144723662077</v>
      </c>
      <c r="D25" s="20">
        <f t="shared" si="3"/>
        <v>3.96039227024136e-6</v>
      </c>
      <c r="E25" s="20">
        <f t="shared" si="4"/>
        <v>-2.24611113197604e-6</v>
      </c>
    </row>
    <row r="26" ht="17.4" spans="1:5">
      <c r="A26" s="20">
        <f t="shared" si="0"/>
        <v>19</v>
      </c>
      <c r="B26" s="20">
        <f t="shared" si="1"/>
        <v>0.567144723662077</v>
      </c>
      <c r="C26" s="20">
        <f t="shared" si="2"/>
        <v>0.567142477550945</v>
      </c>
      <c r="D26" s="20">
        <f t="shared" si="3"/>
        <v>2.24611113197604e-6</v>
      </c>
      <c r="E26" s="20">
        <f t="shared" si="4"/>
        <v>1.27386646286975e-6</v>
      </c>
    </row>
    <row r="27" ht="17.4" spans="1:5">
      <c r="A27" s="20">
        <f t="shared" si="0"/>
        <v>20</v>
      </c>
      <c r="B27" s="20">
        <f t="shared" si="1"/>
        <v>0.567142477550945</v>
      </c>
      <c r="C27" s="20">
        <f t="shared" si="2"/>
        <v>0.567143751417408</v>
      </c>
      <c r="D27" s="20">
        <f t="shared" si="3"/>
        <v>1.27386646286975e-6</v>
      </c>
      <c r="E27" s="20">
        <f t="shared" si="4"/>
        <v>-7.2246494442485e-7</v>
      </c>
    </row>
    <row r="28" ht="17.4" spans="1:5">
      <c r="A28" s="20">
        <f t="shared" si="0"/>
        <v>21</v>
      </c>
      <c r="B28" s="20">
        <f t="shared" si="1"/>
        <v>0.567143751417408</v>
      </c>
      <c r="C28" s="20">
        <f t="shared" si="2"/>
        <v>0.567143028952463</v>
      </c>
      <c r="D28" s="20">
        <f t="shared" si="3"/>
        <v>7.2246494442485e-7</v>
      </c>
      <c r="E28" s="20">
        <f t="shared" si="4"/>
        <v>4.09741104934191e-7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22" sqref="F22"/>
    </sheetView>
  </sheetViews>
  <sheetFormatPr defaultColWidth="9" defaultRowHeight="13.8" outlineLevelCol="5"/>
  <cols>
    <col min="1" max="1" width="22.4416666666667" customWidth="1"/>
    <col min="2" max="2" width="19.1083333333333" customWidth="1"/>
    <col min="3" max="3" width="19.5583333333333" customWidth="1"/>
    <col min="4" max="4" width="14.3333333333333" customWidth="1"/>
    <col min="5" max="5" width="11.8833333333333" customWidth="1"/>
    <col min="6" max="6" width="17.4416666666667" customWidth="1"/>
  </cols>
  <sheetData>
    <row r="1" ht="17.4" spans="1:6">
      <c r="A1" s="5" t="s">
        <v>23</v>
      </c>
      <c r="B1" s="15" t="s">
        <v>24</v>
      </c>
    </row>
    <row r="2" ht="17.4" spans="1:6">
      <c r="A2" s="4" t="s">
        <v>15</v>
      </c>
      <c r="B2" s="4">
        <v>0</v>
      </c>
    </row>
    <row r="3" ht="17.4" spans="1:6">
      <c r="A3" s="4" t="s">
        <v>16</v>
      </c>
      <c r="B3" s="16">
        <v>0.0001</v>
      </c>
    </row>
    <row r="4" ht="17.4" spans="1:6">
      <c r="A4" s="14"/>
    </row>
    <row r="5" ht="20.4" spans="1:6">
      <c r="A5" s="4" t="s">
        <v>25</v>
      </c>
      <c r="B5" s="16" t="s">
        <v>26</v>
      </c>
      <c r="C5" s="16" t="s">
        <v>27</v>
      </c>
      <c r="D5" s="16" t="s">
        <v>28</v>
      </c>
      <c r="E5" s="16" t="s">
        <v>29</v>
      </c>
      <c r="F5" s="17" t="s">
        <v>30</v>
      </c>
    </row>
    <row r="6" ht="18" spans="1:6">
      <c r="A6" s="4">
        <v>0</v>
      </c>
      <c r="B6" s="16">
        <f>B2</f>
        <v>0</v>
      </c>
      <c r="C6" s="18">
        <f>EXP(-B6)-B6</f>
        <v>1</v>
      </c>
      <c r="D6" s="18">
        <f>-EXP(-B6)-1</f>
        <v>-2</v>
      </c>
      <c r="E6" s="18">
        <f>B6-C6/D6</f>
        <v>0.5</v>
      </c>
      <c r="F6" s="18">
        <f>ABS(E6-B6)</f>
        <v>0.5</v>
      </c>
    </row>
    <row r="7" ht="17.4" spans="1:6">
      <c r="A7" s="4">
        <f>A6+1</f>
        <v>1</v>
      </c>
      <c r="B7" s="4">
        <f>E6</f>
        <v>0.5</v>
      </c>
      <c r="C7" s="4">
        <f>EXP(-B7)-B7</f>
        <v>0.106530659712633</v>
      </c>
      <c r="D7" s="7">
        <f>-EXP(-B7)-1</f>
        <v>-1.60653065971263</v>
      </c>
      <c r="E7" s="4">
        <f>B7-C7/D7</f>
        <v>0.566311003197218</v>
      </c>
      <c r="F7" s="4">
        <f>ABS(E7-B7)</f>
        <v>0.0663110031972182</v>
      </c>
    </row>
    <row r="8" ht="17.4" spans="1:6">
      <c r="A8" s="4">
        <f t="shared" ref="A8:A10" si="0">A7+1</f>
        <v>2</v>
      </c>
      <c r="B8" s="4">
        <f t="shared" ref="B8:B10" si="1">E7</f>
        <v>0.566311003197218</v>
      </c>
      <c r="C8" s="4">
        <f t="shared" ref="C8:C10" si="2">EXP(-B8)-B8</f>
        <v>0.00130450980602004</v>
      </c>
      <c r="D8" s="7">
        <f t="shared" ref="D8:D10" si="3">-EXP(-B8)-1</f>
        <v>-1.56761551300324</v>
      </c>
      <c r="E8" s="4">
        <f t="shared" ref="E8:E10" si="4">B8-C8/D8</f>
        <v>0.567143165034862</v>
      </c>
      <c r="F8" s="4">
        <f t="shared" ref="F8:F10" si="5">ABS(E8-B8)</f>
        <v>0.000832161837644008</v>
      </c>
    </row>
    <row r="9" ht="17.4" spans="1:6">
      <c r="A9" s="4">
        <f t="shared" si="0"/>
        <v>3</v>
      </c>
      <c r="B9" s="4">
        <f t="shared" si="1"/>
        <v>0.567143165034862</v>
      </c>
      <c r="C9" s="4">
        <f t="shared" si="2"/>
        <v>1.96480471781335e-7</v>
      </c>
      <c r="D9" s="7">
        <f t="shared" si="3"/>
        <v>-1.56714336151533</v>
      </c>
      <c r="E9" s="4">
        <f t="shared" si="4"/>
        <v>0.567143290409781</v>
      </c>
      <c r="F9" s="4">
        <f t="shared" si="5"/>
        <v>1.25374918891197e-7</v>
      </c>
    </row>
    <row r="10" ht="17.4" spans="1:6">
      <c r="A10" s="4">
        <f t="shared" ref="A10" si="6">A9+1</f>
        <v>4</v>
      </c>
      <c r="B10" s="4">
        <f t="shared" ref="B10" si="7">E9</f>
        <v>0.567143290409781</v>
      </c>
      <c r="C10" s="4">
        <f t="shared" si="2"/>
        <v>4.44089209850063e-15</v>
      </c>
      <c r="D10" s="7">
        <f t="shared" ref="D10" si="8">-EXP(-B10)-1</f>
        <v>-1.56714329040979</v>
      </c>
      <c r="E10" s="4">
        <f t="shared" ref="E10" si="9">B10-C10/D10</f>
        <v>0.567143290409784</v>
      </c>
      <c r="F10" s="4">
        <f t="shared" ref="F10" si="10">ABS(E10-B10)</f>
        <v>2.88657986402541e-15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opLeftCell="A3" workbookViewId="0">
      <selection activeCell="E25" sqref="E25"/>
    </sheetView>
  </sheetViews>
  <sheetFormatPr defaultColWidth="9" defaultRowHeight="13.8" outlineLevelCol="6"/>
  <cols>
    <col min="1" max="1" width="22.775" customWidth="1"/>
    <col min="2" max="2" width="22.2166666666667" customWidth="1"/>
    <col min="3" max="3" width="17.775" customWidth="1"/>
    <col min="4" max="4" width="33.6666666666667" customWidth="1"/>
    <col min="5" max="5" width="15.1083333333333" customWidth="1"/>
    <col min="6" max="6" width="18.6666666666667" customWidth="1"/>
    <col min="7" max="7" width="19.8833333333333" customWidth="1"/>
  </cols>
  <sheetData>
    <row r="1" ht="17.4" spans="1:7">
      <c r="A1" s="4" t="s">
        <v>23</v>
      </c>
      <c r="B1" s="5"/>
    </row>
    <row r="2" ht="17.4" spans="1:7">
      <c r="A2" s="4" t="s">
        <v>15</v>
      </c>
      <c r="B2" s="4">
        <v>0</v>
      </c>
    </row>
    <row r="3" ht="17.4" spans="1:7">
      <c r="A3" s="4" t="s">
        <v>31</v>
      </c>
      <c r="B3" s="5">
        <v>1</v>
      </c>
    </row>
    <row r="4" ht="17.4" spans="1:7">
      <c r="A4" s="4" t="s">
        <v>16</v>
      </c>
      <c r="B4" s="4">
        <v>0.0001</v>
      </c>
    </row>
    <row r="5" ht="17.4" spans="1:7">
      <c r="F5" s="6"/>
    </row>
    <row r="6" ht="17.4" spans="1:7">
      <c r="A6" s="4" t="s">
        <v>25</v>
      </c>
      <c r="B6" s="4" t="s">
        <v>32</v>
      </c>
      <c r="C6" s="4" t="s">
        <v>26</v>
      </c>
      <c r="D6" s="4" t="s">
        <v>27</v>
      </c>
      <c r="E6" s="7" t="s">
        <v>33</v>
      </c>
      <c r="F6" s="7" t="s">
        <v>30</v>
      </c>
      <c r="G6" s="8"/>
    </row>
    <row r="7" ht="17.4" spans="1:7">
      <c r="A7" s="5">
        <v>0</v>
      </c>
      <c r="B7" s="5"/>
      <c r="C7" s="4">
        <f>B2</f>
        <v>0</v>
      </c>
      <c r="D7" s="4">
        <f>EXP(-C7)-C7</f>
        <v>1</v>
      </c>
      <c r="E7" s="5"/>
      <c r="F7" s="5"/>
      <c r="G7" s="9"/>
    </row>
    <row r="8" ht="18" spans="1:7">
      <c r="A8" s="5">
        <v>1</v>
      </c>
      <c r="B8" s="5">
        <f>C7</f>
        <v>0</v>
      </c>
      <c r="C8" s="10">
        <f>$B$3</f>
        <v>1</v>
      </c>
      <c r="D8" s="10">
        <f>EXP(-C8)-C8</f>
        <v>-0.632120558828558</v>
      </c>
      <c r="E8" s="10">
        <f>C8-D8*(C8-B8)/(D8-(EXP(-B8)-B8))</f>
        <v>0.612699836780282</v>
      </c>
      <c r="F8" s="10">
        <f>ABS(E8-C8)</f>
        <v>0.387300163219718</v>
      </c>
      <c r="G8" s="11"/>
    </row>
    <row r="9" ht="18" spans="1:7">
      <c r="A9" s="10">
        <f>A8+1</f>
        <v>2</v>
      </c>
      <c r="B9" s="10">
        <f>C8</f>
        <v>1</v>
      </c>
      <c r="C9" s="10">
        <f>E8</f>
        <v>0.612699836780282</v>
      </c>
      <c r="D9" s="10">
        <f>EXP(-C9)-C9</f>
        <v>-0.070813947873171</v>
      </c>
      <c r="E9" s="10">
        <f>C9-D9*(C9-B9)/(D9-(EXP(-B9)-B9))</f>
        <v>0.563838389161074</v>
      </c>
      <c r="F9" s="4">
        <f>ABS(E9-C9)</f>
        <v>0.0488614476192079</v>
      </c>
      <c r="G9" s="11"/>
    </row>
    <row r="10" ht="18" spans="1:7">
      <c r="A10" s="10">
        <f t="shared" ref="A10:A12" si="0">A9+1</f>
        <v>3</v>
      </c>
      <c r="B10" s="10">
        <f t="shared" ref="B10:B13" si="1">C9</f>
        <v>0.612699836780282</v>
      </c>
      <c r="C10" s="10">
        <f t="shared" ref="C10:C12" si="2">E9</f>
        <v>0.563838389161074</v>
      </c>
      <c r="D10" s="10">
        <f t="shared" ref="D10:D13" si="3">EXP(-C10)-C10</f>
        <v>0.00518235450733839</v>
      </c>
      <c r="E10" s="10">
        <f t="shared" ref="E10:E12" si="4">C10-D10*(C10-B10)/(D10-(EXP(-B10)-B10))</f>
        <v>0.567170358419745</v>
      </c>
      <c r="F10" s="4">
        <f t="shared" ref="F10:F12" si="5">ABS(E10-C10)</f>
        <v>0.00333196925867041</v>
      </c>
      <c r="G10" s="11"/>
    </row>
    <row r="11" ht="18" spans="1:7">
      <c r="A11" s="10">
        <f t="shared" si="0"/>
        <v>4</v>
      </c>
      <c r="B11" s="10">
        <f t="shared" si="1"/>
        <v>0.563838389161074</v>
      </c>
      <c r="C11" s="10">
        <f t="shared" si="2"/>
        <v>0.567170358419745</v>
      </c>
      <c r="D11" s="12">
        <f t="shared" si="3"/>
        <v>-4.24192424300918e-5</v>
      </c>
      <c r="E11" s="10">
        <f t="shared" si="4"/>
        <v>0.567143306604963</v>
      </c>
      <c r="F11" s="4">
        <f t="shared" si="5"/>
        <v>2.70518147813537e-5</v>
      </c>
      <c r="G11" s="11"/>
    </row>
    <row r="12" ht="18" spans="1:7">
      <c r="A12" s="10">
        <f t="shared" si="0"/>
        <v>5</v>
      </c>
      <c r="B12" s="10">
        <f t="shared" si="1"/>
        <v>0.567170358419745</v>
      </c>
      <c r="C12" s="10">
        <f t="shared" si="2"/>
        <v>0.567143306604963</v>
      </c>
      <c r="D12" s="10">
        <f t="shared" si="3"/>
        <v>-2.53801666350029e-8</v>
      </c>
      <c r="E12" s="10">
        <f t="shared" si="4"/>
        <v>0.567143290409705</v>
      </c>
      <c r="F12" s="4">
        <f t="shared" si="5"/>
        <v>1.61952586896774e-8</v>
      </c>
      <c r="G12" s="11"/>
    </row>
    <row r="13" ht="18" spans="1:7">
      <c r="A13" s="10">
        <f t="shared" ref="A13" si="6">A12+1</f>
        <v>6</v>
      </c>
      <c r="B13" s="10">
        <f t="shared" si="1"/>
        <v>0.567143306604963</v>
      </c>
      <c r="C13" s="10">
        <f t="shared" ref="C13" si="7">E12</f>
        <v>0.567143290409705</v>
      </c>
      <c r="D13" s="10">
        <f t="shared" si="3"/>
        <v>1.24233956455555e-13</v>
      </c>
      <c r="E13" s="10">
        <f t="shared" ref="E13" si="8">C13-D13*(C13-B13)/(D13-(EXP(-B13)-B13))</f>
        <v>0.567143290409784</v>
      </c>
      <c r="F13" s="4">
        <f t="shared" ref="F13" si="9">ABS(E13-C13)</f>
        <v>7.92699239582362e-14</v>
      </c>
      <c r="G13" s="13"/>
    </row>
    <row r="14" ht="17.4" spans="1:7">
      <c r="A14" s="14"/>
      <c r="B14" s="13"/>
      <c r="C14" s="13"/>
      <c r="D14" s="13"/>
      <c r="E14" s="13"/>
      <c r="F14" s="13"/>
      <c r="G14" s="14"/>
    </row>
    <row r="15" ht="17.4" spans="1:7">
      <c r="A15" s="14"/>
      <c r="B15" s="14"/>
      <c r="C15" s="14"/>
      <c r="D15" s="14"/>
      <c r="E15" s="14"/>
      <c r="F15" s="14"/>
      <c r="G15" s="1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13" sqref="C13"/>
    </sheetView>
  </sheetViews>
  <sheetFormatPr defaultColWidth="9" defaultRowHeight="13.8" outlineLevelRow="4" outlineLevelCol="3"/>
  <cols>
    <col min="1" max="1" width="16" customWidth="1"/>
    <col min="2" max="2" width="20.2166666666667" customWidth="1"/>
    <col min="3" max="3" width="19.8833333333333" customWidth="1"/>
    <col min="4" max="4" width="27.3333333333333" customWidth="1"/>
  </cols>
  <sheetData>
    <row r="1" spans="1:4">
      <c r="A1" s="1" t="s">
        <v>34</v>
      </c>
      <c r="B1" s="1" t="s">
        <v>35</v>
      </c>
      <c r="C1" s="1" t="s">
        <v>36</v>
      </c>
      <c r="D1" s="1" t="s">
        <v>37</v>
      </c>
    </row>
    <row r="2" spans="1:4">
      <c r="A2" s="1" t="s">
        <v>38</v>
      </c>
      <c r="B2" s="2">
        <f>Бисекция!D22</f>
        <v>0.56719970703125</v>
      </c>
      <c r="C2" s="2">
        <f>Бисекция!A22</f>
        <v>14</v>
      </c>
      <c r="D2" s="3">
        <f>Бисекция!H22</f>
        <v>8.84120272534039e-5</v>
      </c>
    </row>
    <row r="3" spans="1:4">
      <c r="A3" s="1" t="s">
        <v>39</v>
      </c>
      <c r="B3" s="2">
        <f>Простая_итерация!C21</f>
        <v>0.567157143707645</v>
      </c>
      <c r="C3" s="2">
        <f>Простая_итерация!A21</f>
        <v>14</v>
      </c>
      <c r="D3" s="2">
        <f>ABS(Простая_итерация!E21)</f>
        <v>2.17100483713706e-5</v>
      </c>
    </row>
    <row r="4" spans="1:4">
      <c r="A4" s="1" t="s">
        <v>40</v>
      </c>
      <c r="B4" s="2">
        <f>Ньютон!B10</f>
        <v>0.567143290409781</v>
      </c>
      <c r="C4" s="2">
        <f>Ньютон!A10</f>
        <v>4</v>
      </c>
      <c r="D4" s="2">
        <f>ABS(Ньютон!C10)</f>
        <v>4.44089209850063e-15</v>
      </c>
    </row>
    <row r="5" spans="1:4">
      <c r="A5" s="1" t="s">
        <v>41</v>
      </c>
      <c r="B5" s="2">
        <f>Секущие!C13</f>
        <v>0.567143290409705</v>
      </c>
      <c r="C5" s="2">
        <f>Секущие!A13</f>
        <v>6</v>
      </c>
      <c r="D5" s="2">
        <f>ABS(Секущие!D13)</f>
        <v>1.24233956455555e-13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Бисекция</vt:lpstr>
      <vt:lpstr>Простая_итерация</vt:lpstr>
      <vt:lpstr>Ньютон</vt:lpstr>
      <vt:lpstr>Секущие</vt:lpstr>
      <vt:lpstr>Лист5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tolynserbinin009@gmail.com</dc:creator>
  <cp:lastModifiedBy>Nxpert</cp:lastModifiedBy>
  <dcterms:created xsi:type="dcterms:W3CDTF">2026-09-20T10:45:00Z</dcterms:created>
  <dcterms:modified xsi:type="dcterms:W3CDTF">2026-09-21T01:32:56Z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205E645B5AFD4A629EF1887FC5E499D3_12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